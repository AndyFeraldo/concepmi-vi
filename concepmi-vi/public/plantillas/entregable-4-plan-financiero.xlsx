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OS\STUDENT CLUB PMI LIMA\CONCEPMI VI\PLANTILLAS DE CONCURSO DE PROYECTOS\"/>
    </mc:Choice>
  </mc:AlternateContent>
  <xr:revisionPtr revIDLastSave="0" documentId="13_ncr:1_{66F73B5E-71BA-4164-8A21-3621E7CE55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icio" sheetId="1" r:id="rId1"/>
    <sheet name="Costos" sheetId="2" r:id="rId2"/>
    <sheet name="Reservas" sheetId="3" r:id="rId3"/>
    <sheet name="UnitEconomics" sheetId="4" r:id="rId4"/>
    <sheet name="Resu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B25" i="5"/>
  <c r="B23" i="5"/>
  <c r="B12" i="5"/>
  <c r="B27" i="4"/>
  <c r="B23" i="4"/>
  <c r="B15" i="5" s="1"/>
  <c r="B22" i="4"/>
  <c r="B21" i="4"/>
  <c r="B9" i="4"/>
  <c r="B8" i="4"/>
  <c r="B7" i="4"/>
  <c r="C23" i="3"/>
  <c r="C25" i="3" s="1"/>
  <c r="B22" i="5" s="1"/>
  <c r="C11" i="3"/>
  <c r="C8" i="3"/>
  <c r="F26" i="2"/>
  <c r="F28" i="2" s="1"/>
  <c r="F25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27" i="2" s="1"/>
  <c r="B14" i="5" l="1"/>
  <c r="B29" i="4"/>
  <c r="B28" i="4"/>
  <c r="B13" i="5"/>
  <c r="B24" i="5"/>
  <c r="B8" i="5"/>
  <c r="B7" i="5"/>
  <c r="B6" i="5"/>
  <c r="B25" i="4"/>
  <c r="C7" i="3"/>
  <c r="F29" i="2"/>
  <c r="B21" i="5" s="1"/>
  <c r="B30" i="4" l="1"/>
  <c r="B16" i="5"/>
  <c r="B17" i="5"/>
  <c r="C9" i="3"/>
  <c r="B9" i="5" s="1"/>
  <c r="C24" i="3" l="1"/>
  <c r="C10" i="3"/>
  <c r="C12" i="3" l="1"/>
  <c r="C13" i="3" l="1"/>
  <c r="B10" i="5"/>
  <c r="B31" i="4" l="1"/>
  <c r="B32" i="4" s="1"/>
  <c r="B18" i="5" s="1"/>
  <c r="B11" i="5"/>
</calcChain>
</file>

<file path=xl/sharedStrings.xml><?xml version="1.0" encoding="utf-8"?>
<sst xmlns="http://schemas.openxmlformats.org/spreadsheetml/2006/main" count="189" uniqueCount="180">
  <si>
    <t>VI CONCEPMI LIMA 2026 · CONCURSO NACIONAL DE PROYECTOS</t>
  </si>
  <si>
    <t>ENTREGABLE 4 · PLAN FINANCIERO Y COSTOS | Plantilla simplificada según la rúbrica oficial</t>
  </si>
  <si>
    <t>ANTES DE EMPEZAR</t>
  </si>
  <si>
    <t>Completen solo las celdas amarillas. Las celdas lilas contienen fórmulas. No hace falta tener ventas ni un MVP terminado: registren la etapa real y sustenten los supuestos financieros.</t>
  </si>
  <si>
    <t>DATOS DEL PROYECTO</t>
  </si>
  <si>
    <t>Delegación</t>
  </si>
  <si>
    <t>Proyecto</t>
  </si>
  <si>
    <t>Líder de equipo</t>
  </si>
  <si>
    <t>Correo del líder</t>
  </si>
  <si>
    <t>Etapa actual</t>
  </si>
  <si>
    <t>Ventas actuales</t>
  </si>
  <si>
    <t>Tipo de proyecto</t>
  </si>
  <si>
    <t>Selecciona las opciones</t>
  </si>
  <si>
    <t>CÓMO COMPLETAR EL ENTREGABLE</t>
  </si>
  <si>
    <t>1 · COSTOS (3 pts)</t>
  </si>
  <si>
    <t>Lista de partidas de costo y marca cada una como CAPEX (inversión inicial) u OPEX (operación/tecnología).</t>
  </si>
  <si>
    <t>2 · RESERVAS (2 pts)</t>
  </si>
  <si>
    <t>Copia 3–5 riesgos principales y su VME desde el Entregable 3. Las reservas 10 % y 5 % se calculan solas.</t>
  </si>
  <si>
    <t>3 · UNIT ECONOMICS (3 pts)</t>
  </si>
  <si>
    <t>Define unidad, ingreso/precio, costo variable, margen y punto de equilibrio. Usa estimaciones justificadas si aún no vendes.</t>
  </si>
  <si>
    <t>ADÁPTALA A TU CASO</t>
  </si>
  <si>
    <t>CON VENTAS: usa precios, costos por unidad y ventas mensuales observadas o promedios reales.</t>
  </si>
  <si>
    <t>SIN VENTAS: usa precio/ingreso y volumen mensual estimados, sustentados en el Entregable 1 (entrevistas, encuestas, competencia, intención de compra u otra evidencia). No los presentes como ventas reales.</t>
  </si>
  <si>
    <t>IDEA, PROTOTIPO O MVP: elige tu etapa y estima los costos que realmente necesitas para llegar al siguiente hito. Para proyectos sociales/no comerciales, define una unidad de servicio o beneficiario e indica qué fuente financiaría cada unidad.</t>
  </si>
  <si>
    <t>RÚBRICA OFICIAL · 8 PUNTOS</t>
  </si>
  <si>
    <t>Criterio</t>
  </si>
  <si>
    <t>Qué debe mostrar</t>
  </si>
  <si>
    <t>Pts</t>
  </si>
  <si>
    <t>Hoja</t>
  </si>
  <si>
    <t>Estructura de costos</t>
  </si>
  <si>
    <t>CAPEX + OPEX en una lista ordenada, con cantidades, costos y sustento.</t>
  </si>
  <si>
    <t>Costos</t>
  </si>
  <si>
    <t>Sustento de reservas</t>
  </si>
  <si>
    <t>Contingencia 10 % para riesgos conocidos y gestión 5 % para imprevistos, con justificación.</t>
  </si>
  <si>
    <t>Reservas</t>
  </si>
  <si>
    <t>Unit Economics</t>
  </si>
  <si>
    <t>Ingreso/precio por unidad, costo unitario, margen y punto de equilibrio.</t>
  </si>
  <si>
    <t>UnitEconomics</t>
  </si>
  <si>
    <t>TOTAL</t>
  </si>
  <si>
    <t>Fecha límite indicada en las bases: sábado 21 de noviembre de 2026. Completa las hojas en este orden: Costos → Reservas → UnitEconomics → revisa Resumen.</t>
  </si>
  <si>
    <t>ENTREGABLE 4 · ESTRUCTURA DE COSTOS</t>
  </si>
  <si>
    <t>Subcriterio 1 · 3 puntos | Completa solo las partidas que apliquen al proyecto.</t>
  </si>
  <si>
    <t>RÚBRICA: desglose de costos de desarrollo (CAPEX) y operativos/tecnológicos (OPEX) mediante una EDC sencilla.</t>
  </si>
  <si>
    <t>CAPEX = inversión inicial para desarrollar/implementar. OPEX = costos operativos/tecnológicos del horizonte indicado. Los costos variables por unidad van en UnitEconomics, no aquí.</t>
  </si>
  <si>
    <t>Horizonte OPEX (meses)</t>
  </si>
  <si>
    <t>Todos los OPEX de la tabla deben cubrir este periodo (por ejemplo, 12 meses).</t>
  </si>
  <si>
    <t>En cada fila indica concepto, tipo, cantidad, costo unitario y una fuente o supuesto breve (cotización, precio publicado o estimación).</t>
  </si>
  <si>
    <t>N.º</t>
  </si>
  <si>
    <t>Partida / concepto de costo</t>
  </si>
  <si>
    <t>Tipo</t>
  </si>
  <si>
    <t>Cantidad</t>
  </si>
  <si>
    <t>Costo unitario (S/)</t>
  </si>
  <si>
    <t>Costo total (S/)</t>
  </si>
  <si>
    <t>Sustento / fuente breve</t>
  </si>
  <si>
    <t>TOTAL CAPEX · inversión inicial</t>
  </si>
  <si>
    <t>Sumatoria automática</t>
  </si>
  <si>
    <t>TOTAL OPEX · costos del horizonte seleccionado</t>
  </si>
  <si>
    <t>Costos operativos durante el horizonte</t>
  </si>
  <si>
    <t>COSTOS DIRECTOS TOTALES</t>
  </si>
  <si>
    <t>CAPEX + OPEX</t>
  </si>
  <si>
    <t>OPEX FIJO MENSUAL · OPEX ÷ horizonte</t>
  </si>
  <si>
    <t>Se conecta con el punto de equilibrio</t>
  </si>
  <si>
    <t>Verificación de clasificación</t>
  </si>
  <si>
    <t>Todos los costos deben tener tipo</t>
  </si>
  <si>
    <t>Recuerda: las cantidades y los precios pueden ser estimados, pero deben ser razonables y llevar sustento. No dupliques aquí los costos variables por unidad.</t>
  </si>
  <si>
    <t>ENTREGABLE 4 · RESERVAS DEL PROYECTO</t>
  </si>
  <si>
    <t>Subcriterio 2 · 2 puntos | Contingencia: 10 % para riesgos conocidos · Gestión: 5 % para imprevistos.</t>
  </si>
  <si>
    <t>RÚBRICA: justifica las reservas del 10 % y 5 % y demuestra que la contingencia es razonable frente a los riesgos identificados.</t>
  </si>
  <si>
    <t>Los porcentajes se calculan automáticamente. Copia solo los 3–5 riesgos más importantes del Entregable 3 e indica el VME que ya calcularon allí.</t>
  </si>
  <si>
    <t>CÁLCULO AUTOMÁTICO</t>
  </si>
  <si>
    <t>Costos directos (CAPEX + OPEX)</t>
  </si>
  <si>
    <t>Enlazado desde Costos</t>
  </si>
  <si>
    <t>% reserva de contingencia</t>
  </si>
  <si>
    <t>Fijo según las bases: 10 %</t>
  </si>
  <si>
    <t>Reserva de contingencia</t>
  </si>
  <si>
    <t>Costos directos × 10 %</t>
  </si>
  <si>
    <t>Base para reserva de gestión</t>
  </si>
  <si>
    <t>Costos directos + contingencia</t>
  </si>
  <si>
    <t>% reserva de gestión</t>
  </si>
  <si>
    <t>Fijo según las bases: 5 %</t>
  </si>
  <si>
    <t>Reserva de gestión</t>
  </si>
  <si>
    <t>Base × 5 %</t>
  </si>
  <si>
    <t>PRESUPUESTO TOTAL ESTIMADO</t>
  </si>
  <si>
    <t>Base + reserva de gestión</t>
  </si>
  <si>
    <t>RIESGOS CONOCIDOS · COPIAR DEL ENTREGABLE 3</t>
  </si>
  <si>
    <t>Registra los riesgos de mayor exposición; no necesitas repetir el análisis completo. Usa el VME (probabilidad × impacto) calculado en el Entregable 3.</t>
  </si>
  <si>
    <t>ID riesgo</t>
  </si>
  <si>
    <t>Riesgo principal (breve)</t>
  </si>
  <si>
    <t>VME (S/)</t>
  </si>
  <si>
    <t>Referencia en Entregable 3</t>
  </si>
  <si>
    <t>R01</t>
  </si>
  <si>
    <t>R02</t>
  </si>
  <si>
    <t>R03</t>
  </si>
  <si>
    <t>R04</t>
  </si>
  <si>
    <t>R05</t>
  </si>
  <si>
    <t>Exposición total (suma de VME)</t>
  </si>
  <si>
    <t>Cobertura de contingencia (reserva − exposición)</t>
  </si>
  <si>
    <t>Verificación</t>
  </si>
  <si>
    <t>JUSTIFICACIÓN BREVE (1–3 líneas por reserva)</t>
  </si>
  <si>
    <t>¿Por qué el 10 % es razonable para los riesgos conocidos?</t>
  </si>
  <si>
    <t>¿Qué imprevistos cubriría el 5 % y quién autoriza usarlo?</t>
  </si>
  <si>
    <t>ENTREGABLE 4 · UNIT ECONOMICS Y MODELO DE INGRESOS</t>
  </si>
  <si>
    <t>Subcriterio 3 · 3 puntos | Calcula costo unitario, margen y punto de equilibrio con datos reales o supuestos claros.</t>
  </si>
  <si>
    <t>RÚBRICA: ingreso/precio por unidad, costos variables unitarios, margen de ganancia y punto de equilibrio.</t>
  </si>
  <si>
    <t>A. MODELO DEL PROYECTO</t>
  </si>
  <si>
    <t>Elegida en Inicio; puede ser idea, prototipo o MVP.</t>
  </si>
  <si>
    <t>Si no hay ventas, usa estimaciones y decláralas como tales.</t>
  </si>
  <si>
    <t>Si es social/no comercial, define una unidad de servicio o beneficiario.</t>
  </si>
  <si>
    <t>Unidad de análisis</t>
  </si>
  <si>
    <t>Quién paga/financia y por qué</t>
  </si>
  <si>
    <t>Precio o ingreso/financiamiento por unidad (S/)</t>
  </si>
  <si>
    <t>Con ventas: precio promedio real. Sin ventas: precio/ingreso esperado con sustento del Entregable 1. No registres ventas ficticias.</t>
  </si>
  <si>
    <t>B. COSTOS VARIABLES POR UNIDAD</t>
  </si>
  <si>
    <t>Costo variable por unidad</t>
  </si>
  <si>
    <t>Fuente / supuesto</t>
  </si>
  <si>
    <t>Costo variable total por unidad</t>
  </si>
  <si>
    <t>Margen por unidad = ingreso − costo variable</t>
  </si>
  <si>
    <t>Margen sobre ingreso (%)</t>
  </si>
  <si>
    <t>C. PUNTO DE EQUILIBRIO Y ESCENARIO MENSUAL</t>
  </si>
  <si>
    <t>OPEX fijo mensual (S/)</t>
  </si>
  <si>
    <t>Enlazado desde Costos.</t>
  </si>
  <si>
    <t>Unidades/servicios por mes (real o estimado)</t>
  </si>
  <si>
    <t>Con ventas: promedio observado. Sin ventas: escenario base razonable.</t>
  </si>
  <si>
    <t>Ingreso/financiamiento mensual estimado (S/)</t>
  </si>
  <si>
    <t>Ingreso por unidad × unidades/servicios del mes.</t>
  </si>
  <si>
    <t>Resultado mensual estimado (S/)</t>
  </si>
  <si>
    <t>Margen unitario × unidades − OPEX fijo mensual.</t>
  </si>
  <si>
    <t>Punto de equilibrio (unidades/mes)</t>
  </si>
  <si>
    <t>Unidades para cubrir el OPEX fijo mensual.</t>
  </si>
  <si>
    <t>Punto de equilibrio (ingreso mensual, S/)</t>
  </si>
  <si>
    <t>Unidades de equilibrio × ingreso por unidad.</t>
  </si>
  <si>
    <t>Presupuesto total estimado (S/)</t>
  </si>
  <si>
    <t>Enlazado desde Reservas.</t>
  </si>
  <si>
    <t>Recuperación de inversión (meses)</t>
  </si>
  <si>
    <t>Solo estimable si el resultado mensual es positivo.</t>
  </si>
  <si>
    <t>Sustento breve de los supuestos (precio/ingreso, volumen y costo variable)</t>
  </si>
  <si>
    <t>ENTREGABLE 4 · RESUMEN FINANCIERO</t>
  </si>
  <si>
    <t>Revisión final automática · Verifica los supuestos y la cobertura de los criterios de la rúbrica.</t>
  </si>
  <si>
    <t>INDICADORES PRINCIPALES</t>
  </si>
  <si>
    <t>Indicador</t>
  </si>
  <si>
    <t>Resultado</t>
  </si>
  <si>
    <t>Origen / lectura</t>
  </si>
  <si>
    <t>CAPEX · inversión inicial</t>
  </si>
  <si>
    <t>OPEX · periodo seleccionado</t>
  </si>
  <si>
    <t>Costos directos totales</t>
  </si>
  <si>
    <t>Reserva de contingencia 10 %</t>
  </si>
  <si>
    <t>Riesgos conocidos</t>
  </si>
  <si>
    <t>Reserva de gestión 5 %</t>
  </si>
  <si>
    <t>Imprevistos</t>
  </si>
  <si>
    <t>Presupuesto total estimado</t>
  </si>
  <si>
    <t>Costos + reservas</t>
  </si>
  <si>
    <t>Ingreso/precio por unidad</t>
  </si>
  <si>
    <t>Real o estimado</t>
  </si>
  <si>
    <t>Unit economics</t>
  </si>
  <si>
    <t>Margen por unidad</t>
  </si>
  <si>
    <t>Ingreso − costo variable</t>
  </si>
  <si>
    <t>Margen sobre ingreso</t>
  </si>
  <si>
    <t>%</t>
  </si>
  <si>
    <t>Con margen positivo</t>
  </si>
  <si>
    <t>Resultado mensual estimado</t>
  </si>
  <si>
    <t>Escenario real o base</t>
  </si>
  <si>
    <t>Recuperación estimada (meses)</t>
  </si>
  <si>
    <t>Si el resultado es positivo</t>
  </si>
  <si>
    <t>LISTA DE VERIFICACIÓN ANTES DE ENTREGAR</t>
  </si>
  <si>
    <t>Comprobación</t>
  </si>
  <si>
    <t>Estado</t>
  </si>
  <si>
    <t>Qué revisar</t>
  </si>
  <si>
    <t>Todos los costos están clasificados</t>
  </si>
  <si>
    <t>Cada partida está marcada CAPEX u OPEX.</t>
  </si>
  <si>
    <t>La contingencia cubre el VME reportado</t>
  </si>
  <si>
    <t>Si supera el 10 %, expliquen la brecha.</t>
  </si>
  <si>
    <t>Ingreso/precio por unidad completado</t>
  </si>
  <si>
    <t>Si no hay ventas, indicar que es estimado.</t>
  </si>
  <si>
    <t>Costo variable por unidad registrado</t>
  </si>
  <si>
    <t>Si no aplica algún costo, registrar 0 o explicar.</t>
  </si>
  <si>
    <t>Margen y punto de equilibrio revisados</t>
  </si>
  <si>
    <t>El margen debe permitir calcular el equilibrio.</t>
  </si>
  <si>
    <t>Supuestos financieros explicados</t>
  </si>
  <si>
    <t>Explica brevemente precio/ingreso, volumen y costos.</t>
  </si>
  <si>
    <t>Nota: el modelo puede usar datos reales (con ventas) o estimaciones justificadas (sin ventas). No declares proyecciones como resultados reales.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</si>
</sst>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 &quot;\ #,##0.00"/>
    <numFmt numFmtId="165" formatCode="0.0%"/>
    <numFmt numFmtId="166" formatCode="0.0"/>
    <numFmt numFmtId="167" formatCode="#,##0.##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5B3A9E"/>
      <name val="Carlito"/>
    </font>
    <font>
      <sz val="11"/>
      <color rgb="FF17153F"/>
      <name val="Carlito"/>
    </font>
    <font>
      <b/>
      <sz val="11"/>
      <color rgb="FFFFFFFF"/>
      <name val="Carlito"/>
    </font>
    <font>
      <b/>
      <sz val="11"/>
      <color rgb="FF17153F"/>
      <name val="Carlito"/>
    </font>
    <font>
      <sz val="11"/>
      <color rgb="FF1D4ED8"/>
      <name val="Carlito"/>
    </font>
    <font>
      <i/>
      <sz val="11"/>
      <color rgb="FF5B6475"/>
      <name val="Carlito"/>
    </font>
    <font>
      <i/>
      <sz val="11"/>
      <color rgb="FFFFFFFF"/>
      <name val="Carlito"/>
    </font>
    <font>
      <sz val="11"/>
      <color rgb="FF5B6475"/>
      <name val="Carlito"/>
    </font>
    <font>
      <i/>
      <sz val="11"/>
      <color rgb="FF17153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153F"/>
      </patternFill>
    </fill>
    <fill>
      <patternFill patternType="solid">
        <fgColor rgb="FFEEE9FA"/>
      </patternFill>
    </fill>
    <fill>
      <patternFill patternType="solid">
        <fgColor rgb="FF5B3A9E"/>
      </patternFill>
    </fill>
    <fill>
      <patternFill patternType="solid">
        <fgColor rgb="FFE7F7FB"/>
      </patternFill>
    </fill>
    <fill>
      <patternFill patternType="solid">
        <fgColor rgb="FFF4F5F9"/>
      </patternFill>
    </fill>
    <fill>
      <patternFill patternType="solid">
        <fgColor rgb="FFFFF2C6"/>
      </patternFill>
    </fill>
    <fill>
      <patternFill patternType="solid">
        <fgColor rgb="FFF7F4FD"/>
      </patternFill>
    </fill>
    <fill>
      <patternFill patternType="solid">
        <fgColor rgb="FF24205A"/>
      </patternFill>
    </fill>
    <fill>
      <patternFill patternType="solid">
        <fgColor rgb="FFEDE9FE"/>
      </patternFill>
    </fill>
    <fill>
      <patternFill patternType="solid">
        <fgColor rgb="FFFFF8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9" fillId="6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vertical="center" wrapText="1"/>
    </xf>
    <xf numFmtId="164" fontId="5" fillId="10" borderId="0" xfId="0" applyNumberFormat="1" applyFont="1" applyFill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5" fillId="8" borderId="0" xfId="0" applyFont="1" applyFill="1" applyAlignment="1">
      <alignment vertical="center" wrapText="1"/>
    </xf>
    <xf numFmtId="9" fontId="5" fillId="10" borderId="0" xfId="0" applyNumberFormat="1" applyFont="1" applyFill="1" applyAlignment="1">
      <alignment horizontal="center" vertical="center" wrapText="1"/>
    </xf>
    <xf numFmtId="164" fontId="6" fillId="7" borderId="0" xfId="0" applyNumberFormat="1" applyFont="1" applyFill="1" applyAlignment="1">
      <alignment vertical="center" wrapText="1"/>
    </xf>
    <xf numFmtId="165" fontId="5" fillId="10" borderId="0" xfId="0" applyNumberFormat="1" applyFont="1" applyFill="1" applyAlignment="1">
      <alignment vertical="center" wrapText="1"/>
    </xf>
    <xf numFmtId="166" fontId="5" fillId="10" borderId="0" xfId="0" applyNumberFormat="1" applyFont="1" applyFill="1" applyAlignment="1">
      <alignment vertical="center" wrapText="1"/>
    </xf>
    <xf numFmtId="167" fontId="6" fillId="7" borderId="0" xfId="0" applyNumberFormat="1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167" fontId="6" fillId="11" borderId="0" xfId="0" applyNumberFormat="1" applyFont="1" applyFill="1" applyAlignment="1">
      <alignment vertical="center" wrapText="1"/>
    </xf>
    <xf numFmtId="164" fontId="6" fillId="11" borderId="0" xfId="0" applyNumberFormat="1" applyFont="1" applyFill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164" fontId="5" fillId="8" borderId="0" xfId="0" applyNumberFormat="1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164" fontId="6" fillId="7" borderId="0" xfId="0" applyNumberFormat="1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ySplit="2" topLeftCell="A3" activePane="bottomLeft" state="frozen"/>
      <selection pane="bottomLeft" activeCell="F8" sqref="F8:H8"/>
    </sheetView>
  </sheetViews>
  <sheetFormatPr baseColWidth="10" defaultColWidth="9" defaultRowHeight="14.25"/>
  <cols>
    <col min="1" max="1" width="22" customWidth="1"/>
    <col min="2" max="2" width="20" customWidth="1"/>
    <col min="3" max="3" width="18" customWidth="1"/>
    <col min="4" max="5" width="20" customWidth="1"/>
    <col min="6" max="6" width="22" customWidth="1"/>
    <col min="7" max="7" width="18" customWidth="1"/>
    <col min="8" max="8" width="22" customWidth="1"/>
  </cols>
  <sheetData>
    <row r="1" spans="1:8" ht="32.1" customHeight="1">
      <c r="A1" s="24" t="s">
        <v>0</v>
      </c>
      <c r="B1" s="24"/>
      <c r="C1" s="24"/>
      <c r="D1" s="24"/>
      <c r="E1" s="24"/>
      <c r="F1" s="24"/>
      <c r="G1" s="24"/>
      <c r="H1" s="24"/>
    </row>
    <row r="2" spans="1:8" ht="26.1" customHeight="1">
      <c r="A2" s="25" t="s">
        <v>1</v>
      </c>
      <c r="B2" s="25"/>
      <c r="C2" s="25"/>
      <c r="D2" s="25"/>
      <c r="E2" s="25"/>
      <c r="F2" s="25"/>
      <c r="G2" s="25"/>
      <c r="H2" s="25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26" t="s">
        <v>2</v>
      </c>
      <c r="B4" s="26"/>
      <c r="C4" s="26"/>
      <c r="D4" s="26"/>
      <c r="E4" s="26"/>
      <c r="F4" s="26"/>
      <c r="G4" s="26"/>
      <c r="H4" s="26"/>
    </row>
    <row r="5" spans="1:8" ht="42" customHeight="1">
      <c r="A5" s="27" t="s">
        <v>3</v>
      </c>
      <c r="B5" s="27"/>
      <c r="C5" s="27"/>
      <c r="D5" s="27"/>
      <c r="E5" s="27"/>
      <c r="F5" s="27"/>
      <c r="G5" s="27"/>
      <c r="H5" s="27"/>
    </row>
    <row r="6" spans="1:8">
      <c r="A6" s="1"/>
      <c r="B6" s="1"/>
      <c r="C6" s="1"/>
      <c r="D6" s="1"/>
      <c r="E6" s="1"/>
      <c r="F6" s="1"/>
      <c r="G6" s="1"/>
      <c r="H6" s="1"/>
    </row>
    <row r="7" spans="1:8" ht="15">
      <c r="A7" s="26" t="s">
        <v>4</v>
      </c>
      <c r="B7" s="26"/>
      <c r="C7" s="26"/>
      <c r="D7" s="26"/>
      <c r="E7" s="26"/>
      <c r="F7" s="26"/>
      <c r="G7" s="26"/>
      <c r="H7" s="26"/>
    </row>
    <row r="8" spans="1:8" ht="27.95" customHeight="1">
      <c r="A8" s="3" t="s">
        <v>5</v>
      </c>
      <c r="B8" s="28"/>
      <c r="C8" s="28"/>
      <c r="D8" s="28"/>
      <c r="E8" s="3" t="s">
        <v>6</v>
      </c>
      <c r="F8" s="28"/>
      <c r="G8" s="28"/>
      <c r="H8" s="28"/>
    </row>
    <row r="9" spans="1:8" ht="27.95" customHeight="1">
      <c r="A9" s="3" t="s">
        <v>7</v>
      </c>
      <c r="B9" s="28"/>
      <c r="C9" s="28"/>
      <c r="D9" s="28"/>
      <c r="E9" s="3" t="s">
        <v>8</v>
      </c>
      <c r="F9" s="28"/>
      <c r="G9" s="28"/>
      <c r="H9" s="28"/>
    </row>
    <row r="10" spans="1:8" ht="27.95" customHeight="1">
      <c r="A10" s="3" t="s">
        <v>9</v>
      </c>
      <c r="B10" s="4"/>
      <c r="C10" s="3" t="s">
        <v>10</v>
      </c>
      <c r="D10" s="4"/>
      <c r="E10" s="3" t="s">
        <v>11</v>
      </c>
      <c r="F10" s="4"/>
      <c r="G10" s="29" t="s">
        <v>12</v>
      </c>
      <c r="H10" s="29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15">
      <c r="A12" s="26" t="s">
        <v>13</v>
      </c>
      <c r="B12" s="26"/>
      <c r="C12" s="26"/>
      <c r="D12" s="26"/>
      <c r="E12" s="26"/>
      <c r="F12" s="26"/>
      <c r="G12" s="26"/>
      <c r="H12" s="26"/>
    </row>
    <row r="13" spans="1:8" ht="39.950000000000003" customHeight="1">
      <c r="A13" s="30" t="s">
        <v>14</v>
      </c>
      <c r="B13" s="30"/>
      <c r="C13" s="31" t="s">
        <v>15</v>
      </c>
      <c r="D13" s="31"/>
      <c r="E13" s="31"/>
      <c r="F13" s="31"/>
      <c r="G13" s="31"/>
      <c r="H13" s="31"/>
    </row>
    <row r="14" spans="1:8" ht="39.950000000000003" customHeight="1">
      <c r="A14" s="30" t="s">
        <v>16</v>
      </c>
      <c r="B14" s="30"/>
      <c r="C14" s="31" t="s">
        <v>17</v>
      </c>
      <c r="D14" s="31"/>
      <c r="E14" s="31"/>
      <c r="F14" s="31"/>
      <c r="G14" s="31"/>
      <c r="H14" s="31"/>
    </row>
    <row r="15" spans="1:8" ht="39.950000000000003" customHeight="1">
      <c r="A15" s="30" t="s">
        <v>18</v>
      </c>
      <c r="B15" s="30"/>
      <c r="C15" s="31" t="s">
        <v>19</v>
      </c>
      <c r="D15" s="31"/>
      <c r="E15" s="31"/>
      <c r="F15" s="31"/>
      <c r="G15" s="31"/>
      <c r="H15" s="3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 ht="15">
      <c r="A17" s="26" t="s">
        <v>20</v>
      </c>
      <c r="B17" s="26"/>
      <c r="C17" s="26"/>
      <c r="D17" s="26"/>
      <c r="E17" s="26"/>
      <c r="F17" s="26"/>
      <c r="G17" s="26"/>
      <c r="H17" s="26"/>
    </row>
    <row r="18" spans="1:8" ht="36" customHeight="1">
      <c r="A18" s="27" t="s">
        <v>21</v>
      </c>
      <c r="B18" s="27"/>
      <c r="C18" s="27"/>
      <c r="D18" s="27"/>
      <c r="E18" s="27"/>
      <c r="F18" s="27"/>
      <c r="G18" s="27"/>
      <c r="H18" s="27"/>
    </row>
    <row r="19" spans="1:8" ht="44.1" customHeight="1">
      <c r="A19" s="31" t="s">
        <v>22</v>
      </c>
      <c r="B19" s="31"/>
      <c r="C19" s="31"/>
      <c r="D19" s="31"/>
      <c r="E19" s="31"/>
      <c r="F19" s="31"/>
      <c r="G19" s="31"/>
      <c r="H19" s="31"/>
    </row>
    <row r="20" spans="1:8" ht="44.1" customHeight="1">
      <c r="A20" s="31" t="s">
        <v>23</v>
      </c>
      <c r="B20" s="31"/>
      <c r="C20" s="31"/>
      <c r="D20" s="31"/>
      <c r="E20" s="31"/>
      <c r="F20" s="31"/>
      <c r="G20" s="31"/>
      <c r="H20" s="3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15">
      <c r="A22" s="26" t="s">
        <v>24</v>
      </c>
      <c r="B22" s="26"/>
      <c r="C22" s="26"/>
      <c r="D22" s="26"/>
      <c r="E22" s="26"/>
      <c r="F22" s="26"/>
      <c r="G22" s="26"/>
      <c r="H22" s="26"/>
    </row>
    <row r="23" spans="1:8" ht="32.1" customHeight="1">
      <c r="A23" s="32" t="s">
        <v>25</v>
      </c>
      <c r="B23" s="32"/>
      <c r="C23" s="32"/>
      <c r="D23" s="32" t="s">
        <v>26</v>
      </c>
      <c r="E23" s="32"/>
      <c r="F23" s="32"/>
      <c r="G23" s="6" t="s">
        <v>27</v>
      </c>
      <c r="H23" s="6" t="s">
        <v>28</v>
      </c>
    </row>
    <row r="24" spans="1:8" ht="38.1" customHeight="1">
      <c r="A24" s="31" t="s">
        <v>29</v>
      </c>
      <c r="B24" s="31"/>
      <c r="C24" s="31"/>
      <c r="D24" s="31" t="s">
        <v>30</v>
      </c>
      <c r="E24" s="31"/>
      <c r="F24" s="31"/>
      <c r="G24" s="21">
        <v>3</v>
      </c>
      <c r="H24" s="22" t="s">
        <v>31</v>
      </c>
    </row>
    <row r="25" spans="1:8" ht="38.1" customHeight="1">
      <c r="A25" s="33" t="s">
        <v>32</v>
      </c>
      <c r="B25" s="33"/>
      <c r="C25" s="33"/>
      <c r="D25" s="33" t="s">
        <v>33</v>
      </c>
      <c r="E25" s="33"/>
      <c r="F25" s="33"/>
      <c r="G25" s="21">
        <v>2</v>
      </c>
      <c r="H25" s="22" t="s">
        <v>34</v>
      </c>
    </row>
    <row r="26" spans="1:8" ht="38.1" customHeight="1">
      <c r="A26" s="31" t="s">
        <v>35</v>
      </c>
      <c r="B26" s="31"/>
      <c r="C26" s="31"/>
      <c r="D26" s="31" t="s">
        <v>36</v>
      </c>
      <c r="E26" s="31"/>
      <c r="F26" s="31"/>
      <c r="G26" s="21">
        <v>3</v>
      </c>
      <c r="H26" s="22" t="s">
        <v>37</v>
      </c>
    </row>
    <row r="27" spans="1:8" ht="15">
      <c r="A27" s="34" t="s">
        <v>38</v>
      </c>
      <c r="B27" s="34"/>
      <c r="C27" s="34"/>
      <c r="D27" s="34"/>
      <c r="E27" s="34"/>
      <c r="F27" s="34"/>
      <c r="G27" s="21">
        <v>8</v>
      </c>
      <c r="H27" s="23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 ht="32.1" customHeight="1">
      <c r="A29" s="35" t="s">
        <v>39</v>
      </c>
      <c r="B29" s="35"/>
      <c r="C29" s="35"/>
      <c r="D29" s="35"/>
      <c r="E29" s="35"/>
      <c r="F29" s="35"/>
      <c r="G29" s="35"/>
      <c r="H29" s="35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</sheetData>
  <mergeCells count="32">
    <mergeCell ref="A29:H29"/>
    <mergeCell ref="A25:C25"/>
    <mergeCell ref="D25:F25"/>
    <mergeCell ref="A26:C26"/>
    <mergeCell ref="D26:F26"/>
    <mergeCell ref="A27:F27"/>
    <mergeCell ref="A20:H20"/>
    <mergeCell ref="A22:H22"/>
    <mergeCell ref="A23:C23"/>
    <mergeCell ref="D23:F23"/>
    <mergeCell ref="A24:C24"/>
    <mergeCell ref="D24:F24"/>
    <mergeCell ref="A15:B15"/>
    <mergeCell ref="C15:H15"/>
    <mergeCell ref="A17:H17"/>
    <mergeCell ref="A18:H18"/>
    <mergeCell ref="A19:H19"/>
    <mergeCell ref="A12:H12"/>
    <mergeCell ref="A13:B13"/>
    <mergeCell ref="C13:H13"/>
    <mergeCell ref="A14:B14"/>
    <mergeCell ref="C14:H14"/>
    <mergeCell ref="B8:D8"/>
    <mergeCell ref="F8:H8"/>
    <mergeCell ref="B9:D9"/>
    <mergeCell ref="F9:H9"/>
    <mergeCell ref="G10:H10"/>
    <mergeCell ref="A1:H1"/>
    <mergeCell ref="A2:H2"/>
    <mergeCell ref="A4:H4"/>
    <mergeCell ref="A5:H5"/>
    <mergeCell ref="A7:H7"/>
  </mergeCells>
  <dataValidations count="3">
    <dataValidation type="list" sqref="B10" xr:uid="{00000000-0002-0000-0000-000000000000}">
      <formula1>"Idea,Prototipo,MVP"</formula1>
    </dataValidation>
    <dataValidation type="list" sqref="D10" xr:uid="{00000000-0002-0000-0000-000001000000}">
      <formula1>"Con ventas,Sin ventas"</formula1>
    </dataValidation>
    <dataValidation type="list" sqref="F10" xr:uid="{00000000-0002-0000-0000-000002000000}">
      <formula1>"Comercial,Social/no comercial"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pane ySplit="9" topLeftCell="A23" activePane="bottomLeft" state="frozen"/>
      <selection pane="bottomLeft" activeCell="F29" sqref="F29"/>
    </sheetView>
  </sheetViews>
  <sheetFormatPr baseColWidth="10" defaultColWidth="9" defaultRowHeight="14.25"/>
  <cols>
    <col min="1" max="1" width="8" customWidth="1"/>
    <col min="2" max="2" width="37" customWidth="1"/>
    <col min="3" max="3" width="16" customWidth="1"/>
    <col min="4" max="4" width="12" customWidth="1"/>
    <col min="5" max="6" width="18" customWidth="1"/>
    <col min="7" max="7" width="34" customWidth="1"/>
  </cols>
  <sheetData>
    <row r="1" spans="1:7" ht="32.1" customHeight="1">
      <c r="A1" s="24" t="s">
        <v>40</v>
      </c>
      <c r="B1" s="24"/>
      <c r="C1" s="24"/>
      <c r="D1" s="24"/>
      <c r="E1" s="24"/>
      <c r="F1" s="24"/>
      <c r="G1" s="24"/>
    </row>
    <row r="2" spans="1:7" ht="26.1" customHeight="1">
      <c r="A2" s="25" t="s">
        <v>41</v>
      </c>
      <c r="B2" s="25"/>
      <c r="C2" s="25"/>
      <c r="D2" s="25"/>
      <c r="E2" s="25"/>
      <c r="F2" s="25"/>
      <c r="G2" s="25"/>
    </row>
    <row r="3" spans="1:7">
      <c r="A3" s="1"/>
      <c r="B3" s="1"/>
      <c r="C3" s="1"/>
      <c r="D3" s="1"/>
      <c r="E3" s="1"/>
      <c r="F3" s="1"/>
      <c r="G3" s="1"/>
    </row>
    <row r="4" spans="1:7" ht="36" customHeight="1">
      <c r="A4" s="30" t="s">
        <v>42</v>
      </c>
      <c r="B4" s="30"/>
      <c r="C4" s="30"/>
      <c r="D4" s="30"/>
      <c r="E4" s="30"/>
      <c r="F4" s="30"/>
      <c r="G4" s="30"/>
    </row>
    <row r="5" spans="1:7" ht="36" customHeight="1">
      <c r="A5" s="29" t="s">
        <v>43</v>
      </c>
      <c r="B5" s="29"/>
      <c r="C5" s="29"/>
      <c r="D5" s="29"/>
      <c r="E5" s="29"/>
      <c r="F5" s="29"/>
      <c r="G5" s="29"/>
    </row>
    <row r="6" spans="1:7">
      <c r="A6" s="1"/>
      <c r="B6" s="1"/>
      <c r="C6" s="1"/>
      <c r="D6" s="1"/>
      <c r="E6" s="1"/>
      <c r="F6" s="1"/>
      <c r="G6" s="1"/>
    </row>
    <row r="7" spans="1:7" ht="60">
      <c r="A7" s="3" t="s">
        <v>44</v>
      </c>
      <c r="B7" s="4">
        <v>12</v>
      </c>
      <c r="C7" s="27" t="s">
        <v>45</v>
      </c>
      <c r="D7" s="27"/>
      <c r="E7" s="27"/>
      <c r="F7" s="27"/>
      <c r="G7" s="27"/>
    </row>
    <row r="8" spans="1:7" ht="32.1" customHeight="1">
      <c r="A8" s="27" t="s">
        <v>46</v>
      </c>
      <c r="B8" s="27"/>
      <c r="C8" s="27"/>
      <c r="D8" s="27"/>
      <c r="E8" s="27"/>
      <c r="F8" s="27"/>
      <c r="G8" s="27"/>
    </row>
    <row r="9" spans="1:7" ht="32.1" customHeight="1">
      <c r="A9" s="6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</row>
    <row r="10" spans="1:7" ht="26.1" customHeight="1">
      <c r="A10" s="8">
        <v>1</v>
      </c>
      <c r="B10" s="18"/>
      <c r="C10" s="18"/>
      <c r="D10" s="19"/>
      <c r="E10" s="20"/>
      <c r="F10" s="10" t="str">
        <f t="shared" ref="F10:F23" si="0">IF(B10="","",IF(D10="","",IF(E10="","",D10*E10)))</f>
        <v/>
      </c>
      <c r="G10" s="18"/>
    </row>
    <row r="11" spans="1:7" ht="26.1" customHeight="1">
      <c r="A11" s="8">
        <v>2</v>
      </c>
      <c r="B11" s="4"/>
      <c r="C11" s="4"/>
      <c r="D11" s="17"/>
      <c r="E11" s="14"/>
      <c r="F11" s="10" t="str">
        <f t="shared" si="0"/>
        <v/>
      </c>
      <c r="G11" s="4"/>
    </row>
    <row r="12" spans="1:7" ht="26.1" customHeight="1">
      <c r="A12" s="8">
        <v>3</v>
      </c>
      <c r="B12" s="18"/>
      <c r="C12" s="18"/>
      <c r="D12" s="19"/>
      <c r="E12" s="20"/>
      <c r="F12" s="10" t="str">
        <f t="shared" si="0"/>
        <v/>
      </c>
      <c r="G12" s="18"/>
    </row>
    <row r="13" spans="1:7" ht="26.1" customHeight="1">
      <c r="A13" s="8">
        <v>4</v>
      </c>
      <c r="B13" s="4"/>
      <c r="C13" s="4"/>
      <c r="D13" s="17"/>
      <c r="E13" s="14"/>
      <c r="F13" s="10" t="str">
        <f t="shared" si="0"/>
        <v/>
      </c>
      <c r="G13" s="4"/>
    </row>
    <row r="14" spans="1:7" ht="26.1" customHeight="1">
      <c r="A14" s="8">
        <v>5</v>
      </c>
      <c r="B14" s="18"/>
      <c r="C14" s="18"/>
      <c r="D14" s="19"/>
      <c r="E14" s="20"/>
      <c r="F14" s="10" t="str">
        <f t="shared" si="0"/>
        <v/>
      </c>
      <c r="G14" s="18"/>
    </row>
    <row r="15" spans="1:7" ht="26.1" customHeight="1">
      <c r="A15" s="8">
        <v>6</v>
      </c>
      <c r="B15" s="4"/>
      <c r="C15" s="4"/>
      <c r="D15" s="17"/>
      <c r="E15" s="14"/>
      <c r="F15" s="10" t="str">
        <f t="shared" si="0"/>
        <v/>
      </c>
      <c r="G15" s="4"/>
    </row>
    <row r="16" spans="1:7" ht="26.1" customHeight="1">
      <c r="A16" s="8">
        <v>7</v>
      </c>
      <c r="B16" s="18"/>
      <c r="C16" s="18"/>
      <c r="D16" s="19"/>
      <c r="E16" s="20"/>
      <c r="F16" s="10" t="str">
        <f t="shared" si="0"/>
        <v/>
      </c>
      <c r="G16" s="18"/>
    </row>
    <row r="17" spans="1:7" ht="26.1" customHeight="1">
      <c r="A17" s="8">
        <v>8</v>
      </c>
      <c r="B17" s="4"/>
      <c r="C17" s="4"/>
      <c r="D17" s="17"/>
      <c r="E17" s="14"/>
      <c r="F17" s="10" t="str">
        <f t="shared" si="0"/>
        <v/>
      </c>
      <c r="G17" s="4"/>
    </row>
    <row r="18" spans="1:7" ht="26.1" customHeight="1">
      <c r="A18" s="8">
        <v>9</v>
      </c>
      <c r="B18" s="18"/>
      <c r="C18" s="18"/>
      <c r="D18" s="19"/>
      <c r="E18" s="20"/>
      <c r="F18" s="10" t="str">
        <f t="shared" si="0"/>
        <v/>
      </c>
      <c r="G18" s="18"/>
    </row>
    <row r="19" spans="1:7" ht="26.1" customHeight="1">
      <c r="A19" s="8">
        <v>10</v>
      </c>
      <c r="B19" s="4"/>
      <c r="C19" s="4"/>
      <c r="D19" s="17"/>
      <c r="E19" s="14"/>
      <c r="F19" s="10" t="str">
        <f t="shared" si="0"/>
        <v/>
      </c>
      <c r="G19" s="4"/>
    </row>
    <row r="20" spans="1:7" ht="26.1" customHeight="1">
      <c r="A20" s="8">
        <v>11</v>
      </c>
      <c r="B20" s="18"/>
      <c r="C20" s="18"/>
      <c r="D20" s="19"/>
      <c r="E20" s="20"/>
      <c r="F20" s="10" t="str">
        <f t="shared" si="0"/>
        <v/>
      </c>
      <c r="G20" s="18"/>
    </row>
    <row r="21" spans="1:7" ht="26.1" customHeight="1">
      <c r="A21" s="8">
        <v>12</v>
      </c>
      <c r="B21" s="4"/>
      <c r="C21" s="4"/>
      <c r="D21" s="17"/>
      <c r="E21" s="14"/>
      <c r="F21" s="10" t="str">
        <f t="shared" si="0"/>
        <v/>
      </c>
      <c r="G21" s="4"/>
    </row>
    <row r="22" spans="1:7" ht="26.1" customHeight="1">
      <c r="A22" s="8">
        <v>13</v>
      </c>
      <c r="B22" s="18"/>
      <c r="C22" s="18"/>
      <c r="D22" s="19"/>
      <c r="E22" s="20"/>
      <c r="F22" s="10" t="str">
        <f t="shared" si="0"/>
        <v/>
      </c>
      <c r="G22" s="18"/>
    </row>
    <row r="23" spans="1:7" ht="26.1" customHeight="1">
      <c r="A23" s="8">
        <v>14</v>
      </c>
      <c r="B23" s="4"/>
      <c r="C23" s="4"/>
      <c r="D23" s="17"/>
      <c r="E23" s="14"/>
      <c r="F23" s="10" t="str">
        <f t="shared" si="0"/>
        <v/>
      </c>
      <c r="G23" s="4"/>
    </row>
    <row r="24" spans="1:7">
      <c r="A24" s="1"/>
      <c r="B24" s="1"/>
      <c r="C24" s="1"/>
      <c r="D24" s="1"/>
      <c r="E24" s="11"/>
      <c r="F24" s="11"/>
      <c r="G24" s="1"/>
    </row>
    <row r="25" spans="1:7" ht="24" customHeight="1">
      <c r="A25" s="36" t="s">
        <v>54</v>
      </c>
      <c r="B25" s="36"/>
      <c r="C25" s="36"/>
      <c r="D25" s="36"/>
      <c r="E25" s="37"/>
      <c r="F25" s="10">
        <f>SUMIF(C10:C23,"CAPEX",F10:F23)</f>
        <v>0</v>
      </c>
      <c r="G25" s="5" t="s">
        <v>55</v>
      </c>
    </row>
    <row r="26" spans="1:7" ht="24" customHeight="1">
      <c r="A26" s="36" t="s">
        <v>56</v>
      </c>
      <c r="B26" s="36"/>
      <c r="C26" s="36"/>
      <c r="D26" s="36"/>
      <c r="E26" s="37"/>
      <c r="F26" s="10">
        <f>SUMIF(C10:C23,"OPEX",F10:F23)</f>
        <v>0</v>
      </c>
      <c r="G26" s="5" t="s">
        <v>57</v>
      </c>
    </row>
    <row r="27" spans="1:7" ht="24" customHeight="1">
      <c r="A27" s="34" t="s">
        <v>58</v>
      </c>
      <c r="B27" s="34"/>
      <c r="C27" s="34"/>
      <c r="D27" s="34"/>
      <c r="E27" s="38"/>
      <c r="F27" s="10">
        <f>SUM(F10:F23)</f>
        <v>0</v>
      </c>
      <c r="G27" s="5" t="s">
        <v>59</v>
      </c>
    </row>
    <row r="28" spans="1:7" ht="24" customHeight="1">
      <c r="A28" s="36" t="s">
        <v>60</v>
      </c>
      <c r="B28" s="36"/>
      <c r="C28" s="36"/>
      <c r="D28" s="36"/>
      <c r="E28" s="37"/>
      <c r="F28" s="10">
        <f>IF(B7&gt;0,F26/B7,0)</f>
        <v>0</v>
      </c>
      <c r="G28" s="5" t="s">
        <v>61</v>
      </c>
    </row>
    <row r="29" spans="1:7" ht="24" customHeight="1">
      <c r="A29" s="36" t="s">
        <v>62</v>
      </c>
      <c r="B29" s="36"/>
      <c r="C29" s="36"/>
      <c r="D29" s="36"/>
      <c r="E29" s="36"/>
      <c r="F29" s="9" t="str">
        <f>IF(F27=0,"Añade/complete partidas",IF(ABS(F27-F25-F26)&lt;0.01,"Suma CAPEX/OPEX consistente","Revisar CAPEX/OPEX"))</f>
        <v>Añade/complete partidas</v>
      </c>
      <c r="G29" s="5" t="s">
        <v>63</v>
      </c>
    </row>
    <row r="30" spans="1:7">
      <c r="A30" s="1"/>
      <c r="B30" s="1"/>
      <c r="C30" s="1"/>
      <c r="D30" s="1"/>
      <c r="E30" s="1"/>
      <c r="F30" s="1"/>
      <c r="G30" s="1"/>
    </row>
    <row r="31" spans="1:7" ht="33.950000000000003" customHeight="1">
      <c r="A31" s="29" t="s">
        <v>64</v>
      </c>
      <c r="B31" s="29"/>
      <c r="C31" s="29"/>
      <c r="D31" s="29"/>
      <c r="E31" s="29"/>
      <c r="F31" s="29"/>
      <c r="G31" s="29"/>
    </row>
  </sheetData>
  <mergeCells count="12">
    <mergeCell ref="A29:E29"/>
    <mergeCell ref="A31:G31"/>
    <mergeCell ref="A8:G8"/>
    <mergeCell ref="A25:E25"/>
    <mergeCell ref="A26:E26"/>
    <mergeCell ref="A27:E27"/>
    <mergeCell ref="A28:E28"/>
    <mergeCell ref="A1:G1"/>
    <mergeCell ref="A2:G2"/>
    <mergeCell ref="A4:G4"/>
    <mergeCell ref="A5:G5"/>
    <mergeCell ref="C7:G7"/>
  </mergeCells>
  <dataValidations count="1">
    <dataValidation type="list" sqref="C10:C23" xr:uid="{00000000-0002-0000-0100-000000000000}">
      <formula1>"CAPEX,OPEX"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5" topLeftCell="A19" activePane="bottomLeft" state="frozen"/>
      <selection pane="bottomLeft" activeCell="C29" sqref="C29:E29"/>
    </sheetView>
  </sheetViews>
  <sheetFormatPr baseColWidth="10" defaultColWidth="9" defaultRowHeight="14.25"/>
  <cols>
    <col min="1" max="1" width="14" customWidth="1"/>
    <col min="2" max="2" width="42" customWidth="1"/>
    <col min="3" max="3" width="18" customWidth="1"/>
    <col min="4" max="4" width="34" customWidth="1"/>
    <col min="5" max="5" width="8" customWidth="1"/>
  </cols>
  <sheetData>
    <row r="1" spans="1:5" ht="32.1" customHeight="1">
      <c r="A1" s="24" t="s">
        <v>65</v>
      </c>
      <c r="B1" s="24"/>
      <c r="C1" s="24"/>
      <c r="D1" s="24"/>
      <c r="E1" s="24"/>
    </row>
    <row r="2" spans="1:5" ht="26.1" customHeight="1">
      <c r="A2" s="25" t="s">
        <v>66</v>
      </c>
      <c r="B2" s="25"/>
      <c r="C2" s="25"/>
      <c r="D2" s="25"/>
      <c r="E2" s="25"/>
    </row>
    <row r="3" spans="1:5">
      <c r="A3" s="1"/>
      <c r="B3" s="1"/>
      <c r="C3" s="1"/>
      <c r="D3" s="1"/>
      <c r="E3" s="1"/>
    </row>
    <row r="4" spans="1:5" ht="33.950000000000003" customHeight="1">
      <c r="A4" s="31" t="s">
        <v>67</v>
      </c>
      <c r="B4" s="31"/>
      <c r="C4" s="31"/>
      <c r="D4" s="31"/>
      <c r="E4" s="31"/>
    </row>
    <row r="5" spans="1:5" ht="33.950000000000003" customHeight="1">
      <c r="A5" s="31" t="s">
        <v>68</v>
      </c>
      <c r="B5" s="31"/>
      <c r="C5" s="31"/>
      <c r="D5" s="31"/>
      <c r="E5" s="31"/>
    </row>
    <row r="6" spans="1:5" ht="24" customHeight="1">
      <c r="A6" s="26" t="s">
        <v>69</v>
      </c>
      <c r="B6" s="26"/>
      <c r="C6" s="26"/>
      <c r="D6" s="26"/>
      <c r="E6" s="26"/>
    </row>
    <row r="7" spans="1:5" ht="24" customHeight="1">
      <c r="A7" s="39" t="s">
        <v>70</v>
      </c>
      <c r="B7" s="39"/>
      <c r="C7" s="10">
        <f>Costos!F27</f>
        <v>0</v>
      </c>
      <c r="D7" s="29" t="s">
        <v>71</v>
      </c>
      <c r="E7" s="29"/>
    </row>
    <row r="8" spans="1:5" ht="24" customHeight="1">
      <c r="A8" s="39" t="s">
        <v>72</v>
      </c>
      <c r="B8" s="39"/>
      <c r="C8" s="13">
        <f>0.1</f>
        <v>0.1</v>
      </c>
      <c r="D8" s="29" t="s">
        <v>73</v>
      </c>
      <c r="E8" s="29"/>
    </row>
    <row r="9" spans="1:5" ht="24" customHeight="1">
      <c r="A9" s="39" t="s">
        <v>74</v>
      </c>
      <c r="B9" s="39"/>
      <c r="C9" s="10">
        <f>C7*C8</f>
        <v>0</v>
      </c>
      <c r="D9" s="29" t="s">
        <v>75</v>
      </c>
      <c r="E9" s="29"/>
    </row>
    <row r="10" spans="1:5" ht="24" customHeight="1">
      <c r="A10" s="39" t="s">
        <v>76</v>
      </c>
      <c r="B10" s="39"/>
      <c r="C10" s="10">
        <f>C7+C9</f>
        <v>0</v>
      </c>
      <c r="D10" s="29" t="s">
        <v>77</v>
      </c>
      <c r="E10" s="29"/>
    </row>
    <row r="11" spans="1:5" ht="24" customHeight="1">
      <c r="A11" s="39" t="s">
        <v>78</v>
      </c>
      <c r="B11" s="39"/>
      <c r="C11" s="13">
        <f>0.05</f>
        <v>0.05</v>
      </c>
      <c r="D11" s="29" t="s">
        <v>79</v>
      </c>
      <c r="E11" s="29"/>
    </row>
    <row r="12" spans="1:5" ht="24" customHeight="1">
      <c r="A12" s="39" t="s">
        <v>80</v>
      </c>
      <c r="B12" s="39"/>
      <c r="C12" s="10">
        <f>C10*C11</f>
        <v>0</v>
      </c>
      <c r="D12" s="29" t="s">
        <v>81</v>
      </c>
      <c r="E12" s="29"/>
    </row>
    <row r="13" spans="1:5" ht="24" customHeight="1">
      <c r="A13" s="39" t="s">
        <v>82</v>
      </c>
      <c r="B13" s="39"/>
      <c r="C13" s="10">
        <f>C10+C12</f>
        <v>0</v>
      </c>
      <c r="D13" s="29" t="s">
        <v>83</v>
      </c>
      <c r="E13" s="29"/>
    </row>
    <row r="14" spans="1:5">
      <c r="A14" s="1"/>
      <c r="B14" s="1"/>
      <c r="C14" s="1"/>
      <c r="D14" s="1"/>
      <c r="E14" s="1"/>
    </row>
    <row r="15" spans="1:5" ht="30" customHeight="1">
      <c r="A15" s="26" t="s">
        <v>84</v>
      </c>
      <c r="B15" s="26"/>
      <c r="C15" s="26"/>
      <c r="D15" s="26"/>
      <c r="E15" s="26"/>
    </row>
    <row r="16" spans="1:5" ht="30" customHeight="1">
      <c r="A16" s="27" t="s">
        <v>85</v>
      </c>
      <c r="B16" s="27"/>
      <c r="C16" s="27"/>
      <c r="D16" s="27"/>
      <c r="E16" s="27"/>
    </row>
    <row r="17" spans="1:5" ht="32.1" customHeight="1">
      <c r="A17" s="6" t="s">
        <v>86</v>
      </c>
      <c r="B17" s="6" t="s">
        <v>87</v>
      </c>
      <c r="C17" s="6" t="s">
        <v>88</v>
      </c>
      <c r="D17" s="6" t="s">
        <v>89</v>
      </c>
      <c r="E17" s="1"/>
    </row>
    <row r="18" spans="1:5" ht="29.1" customHeight="1">
      <c r="A18" s="8" t="s">
        <v>90</v>
      </c>
      <c r="B18" s="4"/>
      <c r="C18" s="14"/>
      <c r="D18" s="4"/>
      <c r="E18" s="1"/>
    </row>
    <row r="19" spans="1:5" ht="29.1" customHeight="1">
      <c r="A19" s="8" t="s">
        <v>91</v>
      </c>
      <c r="B19" s="4"/>
      <c r="C19" s="14"/>
      <c r="D19" s="4"/>
      <c r="E19" s="1"/>
    </row>
    <row r="20" spans="1:5" ht="29.1" customHeight="1">
      <c r="A20" s="8" t="s">
        <v>92</v>
      </c>
      <c r="B20" s="4"/>
      <c r="C20" s="14"/>
      <c r="D20" s="4"/>
      <c r="E20" s="1"/>
    </row>
    <row r="21" spans="1:5" ht="29.1" customHeight="1">
      <c r="A21" s="8" t="s">
        <v>93</v>
      </c>
      <c r="B21" s="4"/>
      <c r="C21" s="14"/>
      <c r="D21" s="4"/>
      <c r="E21" s="1"/>
    </row>
    <row r="22" spans="1:5" ht="29.1" customHeight="1">
      <c r="A22" s="8" t="s">
        <v>94</v>
      </c>
      <c r="B22" s="4"/>
      <c r="C22" s="14"/>
      <c r="D22" s="4"/>
      <c r="E22" s="1"/>
    </row>
    <row r="23" spans="1:5" ht="27.95" customHeight="1">
      <c r="A23" s="36" t="s">
        <v>95</v>
      </c>
      <c r="B23" s="36"/>
      <c r="C23" s="10">
        <f>SUM(C18:C22)</f>
        <v>0</v>
      </c>
      <c r="D23" s="7"/>
      <c r="E23" s="7"/>
    </row>
    <row r="24" spans="1:5" ht="27.95" customHeight="1">
      <c r="A24" s="36" t="s">
        <v>96</v>
      </c>
      <c r="B24" s="36"/>
      <c r="C24" s="10">
        <f>C9-C23</f>
        <v>0</v>
      </c>
      <c r="D24" s="7"/>
      <c r="E24" s="7"/>
    </row>
    <row r="25" spans="1:5" ht="27.95" customHeight="1">
      <c r="A25" s="36" t="s">
        <v>97</v>
      </c>
      <c r="B25" s="36"/>
      <c r="C25" s="9" t="str">
        <f>IF(C23=0,"Añade VME de E3",IF(C24&gt;=0,"Reserva cubre exposición","Exposición supera reserva"))</f>
        <v>Añade VME de E3</v>
      </c>
      <c r="D25" s="7"/>
      <c r="E25" s="7"/>
    </row>
    <row r="26" spans="1:5">
      <c r="A26" s="1"/>
      <c r="B26" s="1"/>
      <c r="C26" s="1"/>
      <c r="D26" s="1"/>
      <c r="E26" s="1"/>
    </row>
    <row r="27" spans="1:5" ht="15">
      <c r="A27" s="26" t="s">
        <v>98</v>
      </c>
      <c r="B27" s="26"/>
      <c r="C27" s="26"/>
      <c r="D27" s="26"/>
      <c r="E27" s="26"/>
    </row>
    <row r="28" spans="1:5" ht="48" customHeight="1">
      <c r="A28" s="39" t="s">
        <v>99</v>
      </c>
      <c r="B28" s="39"/>
      <c r="C28" s="28"/>
      <c r="D28" s="28"/>
      <c r="E28" s="28"/>
    </row>
    <row r="29" spans="1:5" ht="48" customHeight="1">
      <c r="A29" s="39" t="s">
        <v>100</v>
      </c>
      <c r="B29" s="39"/>
      <c r="C29" s="28"/>
      <c r="D29" s="28"/>
      <c r="E29" s="28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mergeCells count="29">
    <mergeCell ref="A28:B28"/>
    <mergeCell ref="C28:E28"/>
    <mergeCell ref="A29:B29"/>
    <mergeCell ref="C29:E29"/>
    <mergeCell ref="A23:B23"/>
    <mergeCell ref="A24:B24"/>
    <mergeCell ref="A25:B25"/>
    <mergeCell ref="A13:B13"/>
    <mergeCell ref="D13:E13"/>
    <mergeCell ref="A15:E15"/>
    <mergeCell ref="A16:E16"/>
    <mergeCell ref="A27:E27"/>
    <mergeCell ref="A10:B10"/>
    <mergeCell ref="D10:E10"/>
    <mergeCell ref="A11:B11"/>
    <mergeCell ref="D11:E11"/>
    <mergeCell ref="A12:B12"/>
    <mergeCell ref="D12:E12"/>
    <mergeCell ref="A7:B7"/>
    <mergeCell ref="D7:E7"/>
    <mergeCell ref="A8:B8"/>
    <mergeCell ref="D8:E8"/>
    <mergeCell ref="A9:B9"/>
    <mergeCell ref="D9:E9"/>
    <mergeCell ref="A1:E1"/>
    <mergeCell ref="A2:E2"/>
    <mergeCell ref="A4:E4"/>
    <mergeCell ref="A5:E5"/>
    <mergeCell ref="A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pane ySplit="4" topLeftCell="A21" activePane="bottomLeft" state="frozen"/>
      <selection pane="bottomLeft" activeCell="B32" sqref="B32"/>
    </sheetView>
  </sheetViews>
  <sheetFormatPr baseColWidth="10" defaultColWidth="9" defaultRowHeight="14.25"/>
  <cols>
    <col min="1" max="1" width="36" customWidth="1"/>
    <col min="2" max="3" width="22" customWidth="1"/>
    <col min="4" max="4" width="42" customWidth="1"/>
  </cols>
  <sheetData>
    <row r="1" spans="1:4" ht="32.1" customHeight="1">
      <c r="A1" s="24" t="s">
        <v>101</v>
      </c>
      <c r="B1" s="24"/>
      <c r="C1" s="24"/>
      <c r="D1" s="24"/>
    </row>
    <row r="2" spans="1:4" ht="26.1" customHeight="1">
      <c r="A2" s="25" t="s">
        <v>102</v>
      </c>
      <c r="B2" s="25"/>
      <c r="C2" s="25"/>
      <c r="D2" s="25"/>
    </row>
    <row r="3" spans="1:4">
      <c r="A3" s="1"/>
      <c r="B3" s="1"/>
      <c r="C3" s="1"/>
      <c r="D3" s="1"/>
    </row>
    <row r="4" spans="1:4" ht="15">
      <c r="A4" s="40" t="s">
        <v>103</v>
      </c>
      <c r="B4" s="40"/>
      <c r="C4" s="40"/>
      <c r="D4" s="40"/>
    </row>
    <row r="5" spans="1:4">
      <c r="A5" s="1"/>
      <c r="B5" s="1"/>
      <c r="C5" s="1"/>
      <c r="D5" s="1"/>
    </row>
    <row r="6" spans="1:4" ht="24" customHeight="1">
      <c r="A6" s="26" t="s">
        <v>104</v>
      </c>
      <c r="B6" s="26"/>
      <c r="C6" s="26"/>
      <c r="D6" s="26"/>
    </row>
    <row r="7" spans="1:4" ht="30" customHeight="1">
      <c r="A7" s="3" t="s">
        <v>9</v>
      </c>
      <c r="B7" s="9" t="str">
        <f>IF(Inicio!B10="","",Inicio!B10)</f>
        <v/>
      </c>
      <c r="C7" s="29" t="s">
        <v>105</v>
      </c>
      <c r="D7" s="29"/>
    </row>
    <row r="8" spans="1:4" ht="30" customHeight="1">
      <c r="A8" s="3" t="s">
        <v>10</v>
      </c>
      <c r="B8" s="9" t="str">
        <f>IF(Inicio!D10="","",Inicio!D10)</f>
        <v/>
      </c>
      <c r="C8" s="29" t="s">
        <v>106</v>
      </c>
      <c r="D8" s="29"/>
    </row>
    <row r="9" spans="1:4" ht="30" customHeight="1">
      <c r="A9" s="3" t="s">
        <v>11</v>
      </c>
      <c r="B9" s="9" t="str">
        <f>IF(Inicio!F10="","",Inicio!F10)</f>
        <v/>
      </c>
      <c r="C9" s="29" t="s">
        <v>107</v>
      </c>
      <c r="D9" s="29"/>
    </row>
    <row r="10" spans="1:4" ht="30" customHeight="1">
      <c r="A10" s="3" t="s">
        <v>108</v>
      </c>
      <c r="B10" s="28"/>
      <c r="C10" s="28"/>
      <c r="D10" s="28"/>
    </row>
    <row r="11" spans="1:4" ht="38.1" customHeight="1">
      <c r="A11" s="3" t="s">
        <v>109</v>
      </c>
      <c r="B11" s="28"/>
      <c r="C11" s="28"/>
      <c r="D11" s="28"/>
    </row>
    <row r="12" spans="1:4" ht="30" customHeight="1">
      <c r="A12" s="3" t="s">
        <v>110</v>
      </c>
      <c r="B12" s="41"/>
      <c r="C12" s="28"/>
      <c r="D12" s="28"/>
    </row>
    <row r="13" spans="1:4" ht="36" customHeight="1">
      <c r="A13" s="42" t="s">
        <v>111</v>
      </c>
      <c r="B13" s="42"/>
      <c r="C13" s="42"/>
      <c r="D13" s="42"/>
    </row>
    <row r="14" spans="1:4" ht="24" customHeight="1">
      <c r="A14" s="26" t="s">
        <v>112</v>
      </c>
      <c r="B14" s="26"/>
      <c r="C14" s="26"/>
      <c r="D14" s="26"/>
    </row>
    <row r="15" spans="1:4" ht="32.1" customHeight="1">
      <c r="A15" s="6" t="s">
        <v>113</v>
      </c>
      <c r="B15" s="6" t="s">
        <v>51</v>
      </c>
      <c r="C15" s="32" t="s">
        <v>114</v>
      </c>
      <c r="D15" s="32"/>
    </row>
    <row r="16" spans="1:4" ht="27.95" customHeight="1">
      <c r="A16" s="4"/>
      <c r="B16" s="14"/>
      <c r="C16" s="28"/>
      <c r="D16" s="28"/>
    </row>
    <row r="17" spans="1:4" ht="27.95" customHeight="1">
      <c r="A17" s="4"/>
      <c r="B17" s="14"/>
      <c r="C17" s="28"/>
      <c r="D17" s="28"/>
    </row>
    <row r="18" spans="1:4" ht="27.95" customHeight="1">
      <c r="A18" s="4"/>
      <c r="B18" s="14"/>
      <c r="C18" s="28"/>
      <c r="D18" s="28"/>
    </row>
    <row r="19" spans="1:4" ht="27.95" customHeight="1">
      <c r="A19" s="4"/>
      <c r="B19" s="14"/>
      <c r="C19" s="28"/>
      <c r="D19" s="28"/>
    </row>
    <row r="20" spans="1:4" ht="27.95" customHeight="1">
      <c r="A20" s="4"/>
      <c r="B20" s="14"/>
      <c r="C20" s="28"/>
      <c r="D20" s="28"/>
    </row>
    <row r="21" spans="1:4" ht="26.1" customHeight="1">
      <c r="A21" s="12" t="s">
        <v>115</v>
      </c>
      <c r="B21" s="10">
        <f>SUM(B16:B20)</f>
        <v>0</v>
      </c>
      <c r="C21" s="43"/>
      <c r="D21" s="43"/>
    </row>
    <row r="22" spans="1:4" ht="26.1" customHeight="1">
      <c r="A22" s="12" t="s">
        <v>116</v>
      </c>
      <c r="B22" s="10" t="str">
        <f>IF(B12="","",IF(B21="","",B12-B21))</f>
        <v/>
      </c>
      <c r="C22" s="43"/>
      <c r="D22" s="43"/>
    </row>
    <row r="23" spans="1:4" ht="26.1" customHeight="1">
      <c r="A23" s="12" t="s">
        <v>117</v>
      </c>
      <c r="B23" s="15" t="str">
        <f>IF(B12="","",IF(B22="","",IF(B12&gt;0,B22/B12,0)))</f>
        <v/>
      </c>
      <c r="C23" s="43"/>
      <c r="D23" s="43"/>
    </row>
    <row r="24" spans="1:4" ht="15">
      <c r="A24" s="26" t="s">
        <v>118</v>
      </c>
      <c r="B24" s="26"/>
      <c r="C24" s="26"/>
      <c r="D24" s="26"/>
    </row>
    <row r="25" spans="1:4" ht="30" customHeight="1">
      <c r="A25" s="3" t="s">
        <v>119</v>
      </c>
      <c r="B25" s="10" t="str">
        <f>IF(Costos!F27=0,"",Costos!F28)</f>
        <v/>
      </c>
      <c r="C25" s="29" t="s">
        <v>120</v>
      </c>
      <c r="D25" s="29"/>
    </row>
    <row r="26" spans="1:4" ht="30" customHeight="1">
      <c r="A26" s="3" t="s">
        <v>121</v>
      </c>
      <c r="B26" s="4"/>
      <c r="C26" s="29" t="s">
        <v>122</v>
      </c>
      <c r="D26" s="29"/>
    </row>
    <row r="27" spans="1:4" ht="30" customHeight="1">
      <c r="A27" s="3" t="s">
        <v>123</v>
      </c>
      <c r="B27" s="10" t="str">
        <f>IF(B12="","",IF(B26="","",B12*B26))</f>
        <v/>
      </c>
      <c r="C27" s="29" t="s">
        <v>124</v>
      </c>
      <c r="D27" s="29"/>
    </row>
    <row r="28" spans="1:4" ht="30" customHeight="1">
      <c r="A28" s="3" t="s">
        <v>125</v>
      </c>
      <c r="B28" s="10" t="str">
        <f>IF(B22="","",IF(B26="","",B22*B26-B25))</f>
        <v/>
      </c>
      <c r="C28" s="29" t="s">
        <v>126</v>
      </c>
      <c r="D28" s="29"/>
    </row>
    <row r="29" spans="1:4" ht="30" customHeight="1">
      <c r="A29" s="3" t="s">
        <v>127</v>
      </c>
      <c r="B29" s="10" t="str">
        <f>IF(B22="","Completar ingreso/costos",IF(B22&lt;=0,"Revisar margen",ROUNDUP(B25/B22,0)))</f>
        <v>Completar ingreso/costos</v>
      </c>
      <c r="C29" s="29" t="s">
        <v>128</v>
      </c>
      <c r="D29" s="29"/>
    </row>
    <row r="30" spans="1:4" ht="30" customHeight="1">
      <c r="A30" s="3" t="s">
        <v>129</v>
      </c>
      <c r="B30" s="10" t="str">
        <f>IF(ISNUMBER(B29),B29*B12,"—")</f>
        <v>—</v>
      </c>
      <c r="C30" s="29" t="s">
        <v>130</v>
      </c>
      <c r="D30" s="29"/>
    </row>
    <row r="31" spans="1:4" ht="30" customHeight="1">
      <c r="A31" s="3" t="s">
        <v>131</v>
      </c>
      <c r="B31" s="10" t="str">
        <f>IF(Reservas!C7=0,"",Reservas!C13)</f>
        <v/>
      </c>
      <c r="C31" s="29" t="s">
        <v>132</v>
      </c>
      <c r="D31" s="29"/>
    </row>
    <row r="32" spans="1:4" ht="30" customHeight="1">
      <c r="A32" s="3" t="s">
        <v>133</v>
      </c>
      <c r="B32" s="16" t="e">
        <f>IF(B28&gt;0,B31/B28,"No estimable en este escenario")</f>
        <v>#VALUE!</v>
      </c>
      <c r="C32" s="29" t="s">
        <v>134</v>
      </c>
      <c r="D32" s="29"/>
    </row>
    <row r="33" spans="1:4">
      <c r="A33" s="1"/>
      <c r="B33" s="1"/>
      <c r="C33" s="1"/>
      <c r="D33" s="1"/>
    </row>
    <row r="34" spans="1:4" ht="33.950000000000003" customHeight="1">
      <c r="A34" s="39" t="s">
        <v>135</v>
      </c>
      <c r="B34" s="39"/>
      <c r="C34" s="28"/>
      <c r="D34" s="28"/>
    </row>
    <row r="35" spans="1:4" ht="33.950000000000003" customHeight="1">
      <c r="A35" s="1"/>
      <c r="B35" s="1"/>
      <c r="C35" s="28"/>
      <c r="D35" s="28"/>
    </row>
  </sheetData>
  <mergeCells count="32">
    <mergeCell ref="A34:B34"/>
    <mergeCell ref="C34:D35"/>
    <mergeCell ref="C28:D28"/>
    <mergeCell ref="C29:D29"/>
    <mergeCell ref="C30:D30"/>
    <mergeCell ref="C31:D31"/>
    <mergeCell ref="C32:D32"/>
    <mergeCell ref="C23:D23"/>
    <mergeCell ref="A24:D24"/>
    <mergeCell ref="C25:D25"/>
    <mergeCell ref="C26:D26"/>
    <mergeCell ref="C27:D27"/>
    <mergeCell ref="C18:D18"/>
    <mergeCell ref="C19:D19"/>
    <mergeCell ref="C20:D20"/>
    <mergeCell ref="C21:D21"/>
    <mergeCell ref="C22:D22"/>
    <mergeCell ref="A13:D13"/>
    <mergeCell ref="A14:D14"/>
    <mergeCell ref="C15:D15"/>
    <mergeCell ref="C16:D16"/>
    <mergeCell ref="C17:D17"/>
    <mergeCell ref="C8:D8"/>
    <mergeCell ref="C9:D9"/>
    <mergeCell ref="B10:D10"/>
    <mergeCell ref="B11:D11"/>
    <mergeCell ref="B12:D12"/>
    <mergeCell ref="A1:D1"/>
    <mergeCell ref="A2:D2"/>
    <mergeCell ref="A4:D4"/>
    <mergeCell ref="A6:D6"/>
    <mergeCell ref="C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pane ySplit="5" topLeftCell="A18" activePane="bottomLeft" state="frozen"/>
      <selection pane="bottomLeft" sqref="A1:D1"/>
    </sheetView>
  </sheetViews>
  <sheetFormatPr baseColWidth="10" defaultColWidth="9" defaultRowHeight="14.25"/>
  <cols>
    <col min="1" max="1" width="43" customWidth="1"/>
    <col min="2" max="2" width="24" customWidth="1"/>
    <col min="3" max="3" width="38" customWidth="1"/>
    <col min="4" max="4" width="18" customWidth="1"/>
  </cols>
  <sheetData>
    <row r="1" spans="1:4" ht="32.1" customHeight="1">
      <c r="A1" s="24" t="s">
        <v>136</v>
      </c>
      <c r="B1" s="24"/>
      <c r="C1" s="24"/>
      <c r="D1" s="24"/>
    </row>
    <row r="2" spans="1:4" ht="26.1" customHeight="1">
      <c r="A2" s="25" t="s">
        <v>137</v>
      </c>
      <c r="B2" s="25"/>
      <c r="C2" s="25"/>
      <c r="D2" s="25"/>
    </row>
    <row r="3" spans="1:4">
      <c r="A3" s="1"/>
      <c r="B3" s="1"/>
      <c r="C3" s="1"/>
      <c r="D3" s="1"/>
    </row>
    <row r="4" spans="1:4" ht="15">
      <c r="A4" s="26" t="s">
        <v>138</v>
      </c>
      <c r="B4" s="26"/>
      <c r="C4" s="26"/>
      <c r="D4" s="26"/>
    </row>
    <row r="5" spans="1:4" ht="32.1" customHeight="1">
      <c r="A5" s="6" t="s">
        <v>139</v>
      </c>
      <c r="B5" s="6" t="s">
        <v>140</v>
      </c>
      <c r="C5" s="6" t="s">
        <v>141</v>
      </c>
      <c r="D5" s="6"/>
    </row>
    <row r="6" spans="1:4" ht="24.95" customHeight="1">
      <c r="A6" s="2" t="s">
        <v>142</v>
      </c>
      <c r="B6" s="10" t="str">
        <f>IF(Costos!F27=0,"",Costos!F25)</f>
        <v/>
      </c>
      <c r="C6" s="7" t="s">
        <v>31</v>
      </c>
      <c r="D6" s="7"/>
    </row>
    <row r="7" spans="1:4" ht="24.95" customHeight="1">
      <c r="A7" s="2" t="s">
        <v>143</v>
      </c>
      <c r="B7" s="10" t="str">
        <f>IF(Costos!F27=0,"",Costos!F26)</f>
        <v/>
      </c>
      <c r="C7" s="7" t="s">
        <v>31</v>
      </c>
      <c r="D7" s="7"/>
    </row>
    <row r="8" spans="1:4" ht="24.95" customHeight="1">
      <c r="A8" s="2" t="s">
        <v>144</v>
      </c>
      <c r="B8" s="10" t="str">
        <f>IF(Costos!F27=0,"",Costos!F27)</f>
        <v/>
      </c>
      <c r="C8" s="7" t="s">
        <v>59</v>
      </c>
      <c r="D8" s="7"/>
    </row>
    <row r="9" spans="1:4" ht="24.95" customHeight="1">
      <c r="A9" s="2" t="s">
        <v>145</v>
      </c>
      <c r="B9" s="10" t="str">
        <f>IF(Costos!F27=0,"",Reservas!C9)</f>
        <v/>
      </c>
      <c r="C9" s="7" t="s">
        <v>146</v>
      </c>
      <c r="D9" s="7"/>
    </row>
    <row r="10" spans="1:4" ht="24.95" customHeight="1">
      <c r="A10" s="2" t="s">
        <v>147</v>
      </c>
      <c r="B10" s="10" t="str">
        <f>IF(Costos!F27=0,"",Reservas!C12)</f>
        <v/>
      </c>
      <c r="C10" s="7" t="s">
        <v>148</v>
      </c>
      <c r="D10" s="7"/>
    </row>
    <row r="11" spans="1:4" ht="24.95" customHeight="1">
      <c r="A11" s="2" t="s">
        <v>149</v>
      </c>
      <c r="B11" s="10" t="str">
        <f>IF(Costos!F27=0,"",Reservas!C13)</f>
        <v/>
      </c>
      <c r="C11" s="7" t="s">
        <v>150</v>
      </c>
      <c r="D11" s="7"/>
    </row>
    <row r="12" spans="1:4" ht="24.95" customHeight="1">
      <c r="A12" s="2" t="s">
        <v>151</v>
      </c>
      <c r="B12" s="10" t="str">
        <f>IF(UnitEconomics!B12="","",UnitEconomics!B12)</f>
        <v/>
      </c>
      <c r="C12" s="7" t="s">
        <v>152</v>
      </c>
      <c r="D12" s="7"/>
    </row>
    <row r="13" spans="1:4" ht="24.95" customHeight="1">
      <c r="A13" s="2" t="s">
        <v>113</v>
      </c>
      <c r="B13" s="10">
        <f>IF(UnitEconomics!B21="","",UnitEconomics!B21)</f>
        <v>0</v>
      </c>
      <c r="C13" s="7" t="s">
        <v>153</v>
      </c>
      <c r="D13" s="7"/>
    </row>
    <row r="14" spans="1:4" ht="24.95" customHeight="1">
      <c r="A14" s="2" t="s">
        <v>154</v>
      </c>
      <c r="B14" s="10" t="str">
        <f>IF(UnitEconomics!B22="","",UnitEconomics!B22)</f>
        <v/>
      </c>
      <c r="C14" s="7" t="s">
        <v>155</v>
      </c>
      <c r="D14" s="7"/>
    </row>
    <row r="15" spans="1:4" ht="24.95" customHeight="1">
      <c r="A15" s="2" t="s">
        <v>156</v>
      </c>
      <c r="B15" s="15" t="str">
        <f>IF(UnitEconomics!B23="","",UnitEconomics!B23)</f>
        <v/>
      </c>
      <c r="C15" s="7" t="s">
        <v>157</v>
      </c>
      <c r="D15" s="7"/>
    </row>
    <row r="16" spans="1:4" ht="24.95" customHeight="1">
      <c r="A16" s="2" t="s">
        <v>127</v>
      </c>
      <c r="B16" s="9" t="str">
        <f>UnitEconomics!B29</f>
        <v>Completar ingreso/costos</v>
      </c>
      <c r="C16" s="7" t="s">
        <v>158</v>
      </c>
      <c r="D16" s="7"/>
    </row>
    <row r="17" spans="1:4" ht="24.95" customHeight="1">
      <c r="A17" s="2" t="s">
        <v>159</v>
      </c>
      <c r="B17" s="10" t="str">
        <f>UnitEconomics!B28</f>
        <v/>
      </c>
      <c r="C17" s="7" t="s">
        <v>160</v>
      </c>
      <c r="D17" s="7"/>
    </row>
    <row r="18" spans="1:4" ht="24.95" customHeight="1">
      <c r="A18" s="2" t="s">
        <v>161</v>
      </c>
      <c r="B18" s="9" t="e">
        <f>UnitEconomics!B32</f>
        <v>#VALUE!</v>
      </c>
      <c r="C18" s="7" t="s">
        <v>162</v>
      </c>
      <c r="D18" s="7"/>
    </row>
    <row r="19" spans="1:4" ht="15">
      <c r="A19" s="26" t="s">
        <v>163</v>
      </c>
      <c r="B19" s="26"/>
      <c r="C19" s="26"/>
      <c r="D19" s="26"/>
    </row>
    <row r="20" spans="1:4" ht="32.1" customHeight="1">
      <c r="A20" s="6" t="s">
        <v>164</v>
      </c>
      <c r="B20" s="6" t="s">
        <v>165</v>
      </c>
      <c r="C20" s="6" t="s">
        <v>166</v>
      </c>
      <c r="D20" s="6"/>
    </row>
    <row r="21" spans="1:4" ht="33" customHeight="1">
      <c r="A21" s="3" t="s">
        <v>167</v>
      </c>
      <c r="B21" s="9" t="str">
        <f>Costos!F29</f>
        <v>Añade/complete partidas</v>
      </c>
      <c r="C21" s="7" t="s">
        <v>168</v>
      </c>
      <c r="D21" s="7"/>
    </row>
    <row r="22" spans="1:4" ht="33" customHeight="1">
      <c r="A22" s="3" t="s">
        <v>169</v>
      </c>
      <c r="B22" s="9" t="str">
        <f>Reservas!C25</f>
        <v>Añade VME de E3</v>
      </c>
      <c r="C22" s="7" t="s">
        <v>170</v>
      </c>
      <c r="D22" s="7"/>
    </row>
    <row r="23" spans="1:4" ht="33" customHeight="1">
      <c r="A23" s="3" t="s">
        <v>171</v>
      </c>
      <c r="B23" s="9" t="str">
        <f>IF(UnitEconomics!B12&gt;0,"OK","Completar ingreso/precio unitario")</f>
        <v>Completar ingreso/precio unitario</v>
      </c>
      <c r="C23" s="7" t="s">
        <v>172</v>
      </c>
      <c r="D23" s="7"/>
    </row>
    <row r="24" spans="1:4" ht="33" customHeight="1">
      <c r="A24" s="3" t="s">
        <v>173</v>
      </c>
      <c r="B24" s="9" t="str">
        <f>IF(UnitEconomics!B21&gt;0,"OK","Registrar costo variable o justificar 0")</f>
        <v>Registrar costo variable o justificar 0</v>
      </c>
      <c r="C24" s="7" t="s">
        <v>174</v>
      </c>
      <c r="D24" s="7"/>
    </row>
    <row r="25" spans="1:4" ht="33" customHeight="1">
      <c r="A25" s="3" t="s">
        <v>175</v>
      </c>
      <c r="B25" s="9" t="str">
        <f>IF(UnitEconomics!B22&gt;0,"Calculado","Revisar margen o supuesto de ingreso")</f>
        <v>Calculado</v>
      </c>
      <c r="C25" s="7" t="s">
        <v>176</v>
      </c>
      <c r="D25" s="7"/>
    </row>
    <row r="26" spans="1:4" ht="33" customHeight="1">
      <c r="A26" s="3" t="s">
        <v>177</v>
      </c>
      <c r="B26" s="9" t="str">
        <f>IF(UnitEconomics!C34="","Añadir sustento","Verificar sustento")</f>
        <v>Añadir sustento</v>
      </c>
      <c r="C26" s="7" t="s">
        <v>178</v>
      </c>
      <c r="D26" s="7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 ht="42" customHeight="1">
      <c r="A29" s="42" t="s">
        <v>179</v>
      </c>
      <c r="B29" s="42"/>
      <c r="C29" s="42"/>
      <c r="D29" s="42"/>
    </row>
  </sheetData>
  <mergeCells count="5">
    <mergeCell ref="A1:D1"/>
    <mergeCell ref="A2:D2"/>
    <mergeCell ref="A4:D4"/>
    <mergeCell ref="A19:D19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Costos</vt:lpstr>
      <vt:lpstr>Reservas</vt:lpstr>
      <vt:lpstr>UnitEconomics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Fernandez Aldoradin</cp:lastModifiedBy>
  <dcterms:modified xsi:type="dcterms:W3CDTF">2026-10-17T23:29:09Z</dcterms:modified>
</cp:coreProperties>
</file>